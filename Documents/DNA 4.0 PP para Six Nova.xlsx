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NA_4.0\000 HEINEKEN\3452 - Six Nova CanPro 4.0\"/>
    </mc:Choice>
  </mc:AlternateContent>
  <xr:revisionPtr revIDLastSave="0" documentId="8_{B10F3904-0D68-4444-9A22-4CC95623C8C4}" xr6:coauthVersionLast="47" xr6:coauthVersionMax="47" xr10:uidLastSave="{00000000-0000-0000-0000-000000000000}"/>
  <bookViews>
    <workbookView xWindow="-110" yWindow="-110" windowWidth="24220" windowHeight="15500" activeTab="1" xr2:uid="{3AAC7C1D-207D-4372-BD71-73D34E009F0D}"/>
  </bookViews>
  <sheets>
    <sheet name="Hoja1" sheetId="1" r:id="rId1"/>
    <sheet name="DNA 4.0 Propos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3" i="2"/>
</calcChain>
</file>

<file path=xl/sharedStrings.xml><?xml version="1.0" encoding="utf-8"?>
<sst xmlns="http://schemas.openxmlformats.org/spreadsheetml/2006/main" count="310" uniqueCount="171">
  <si>
    <t>WBS</t>
  </si>
  <si>
    <t>Fase</t>
  </si>
  <si>
    <t>Descripción</t>
  </si>
  <si>
    <t>Fecha Inicio</t>
  </si>
  <si>
    <t>Fecha Fin</t>
  </si>
  <si>
    <t>Trabajo (días)</t>
  </si>
  <si>
    <t>Definición Arquitectónica</t>
  </si>
  <si>
    <t>Talleres, análisis de alternativas PI, CPI/BTP o híbrida, definición de arquitectura y ambientes</t>
  </si>
  <si>
    <t>Análisis y Levantamiento</t>
  </si>
  <si>
    <t>Análisis funcional y técnico completo</t>
  </si>
  <si>
    <t>Análisis ECC vs S/4HANA</t>
  </si>
  <si>
    <t>Identificación de diferencias técnicas y APIs</t>
  </si>
  <si>
    <t>Reglas actuales ECC</t>
  </si>
  <si>
    <t>Documentación de reglas vigentes</t>
  </si>
  <si>
    <t>Reglas S/4HANA</t>
  </si>
  <si>
    <t>Talleres funcionales y definición de reglas nuevas</t>
  </si>
  <si>
    <t>Control de origen</t>
  </si>
  <si>
    <t>Diseño de control entre cajas ECC y S/4</t>
  </si>
  <si>
    <t>Diseño Técnico</t>
  </si>
  <si>
    <t>Diseño funcional y técnico detallado</t>
  </si>
  <si>
    <t>Diseño Aplicación</t>
  </si>
  <si>
    <t>Router, trazabilidad, datos y reglas</t>
  </si>
  <si>
    <t>Diseño Integración</t>
  </si>
  <si>
    <t>Diseño PI, CPI/BTP o híbrido</t>
  </si>
  <si>
    <t>Desarrollo</t>
  </si>
  <si>
    <t>Construcción de aplicación e integraciones</t>
  </si>
  <si>
    <t>Desarrollo Aplicación</t>
  </si>
  <si>
    <t>Router, reglas, SAT, trazabilidad</t>
  </si>
  <si>
    <t>Desarrollo Integración</t>
  </si>
  <si>
    <t>Integración PI/CPI/BTP/API REST</t>
  </si>
  <si>
    <t>Pruebas</t>
  </si>
  <si>
    <t>Validación integral del sistema</t>
  </si>
  <si>
    <t>Unitarias e Integración</t>
  </si>
  <si>
    <t>Validación técnica y funcional</t>
  </si>
  <si>
    <t>End-to-End</t>
  </si>
  <si>
    <t>Flujo completo ECC y S/4</t>
  </si>
  <si>
    <t>Regresión ECC</t>
  </si>
  <si>
    <t>Validación de no afectación</t>
  </si>
  <si>
    <t>UAT</t>
  </si>
  <si>
    <t>Pruebas con usuarios Heineken</t>
  </si>
  <si>
    <t>Producción y Estabilización</t>
  </si>
  <si>
    <t>Go-live, monitoreo y soporte</t>
  </si>
  <si>
    <t>Deploy Producción</t>
  </si>
  <si>
    <t>Ejecución de despliegue</t>
  </si>
  <si>
    <t>Hypercare</t>
  </si>
  <si>
    <t>Soporte intensivo post salida</t>
  </si>
  <si>
    <t>Costo Estimado MX</t>
  </si>
  <si>
    <t>Concepto</t>
  </si>
  <si>
    <t>Costo USD</t>
  </si>
  <si>
    <t>Fase 0 – Arquitectura</t>
  </si>
  <si>
    <t>Fase 1 – Análisis</t>
  </si>
  <si>
    <t>Fase 2 – Diseño</t>
  </si>
  <si>
    <t>Fase 3 – Desarrollo</t>
  </si>
  <si>
    <t>Fase 4 – Pruebas</t>
  </si>
  <si>
    <t>Fase 5 – Producción</t>
  </si>
  <si>
    <t>Total Estimado</t>
  </si>
  <si>
    <t>197,000 USD</t>
  </si>
  <si>
    <t>Architectural Definition</t>
  </si>
  <si>
    <t>Busines Logic Definition</t>
  </si>
  <si>
    <t>Functionality development</t>
  </si>
  <si>
    <t>Integration Development</t>
  </si>
  <si>
    <t>Heineken</t>
  </si>
  <si>
    <t>DNA 4.0</t>
  </si>
  <si>
    <t>S4 test environment preparation</t>
  </si>
  <si>
    <t>Integral &amp; User Testing</t>
  </si>
  <si>
    <t>Task Name</t>
  </si>
  <si>
    <t>Duration</t>
  </si>
  <si>
    <t>Start</t>
  </si>
  <si>
    <t>Finish</t>
  </si>
  <si>
    <t>Predecessors</t>
  </si>
  <si>
    <t>Resource Names</t>
  </si>
  <si>
    <t>13 days</t>
  </si>
  <si>
    <t>Tue 6/23/26</t>
  </si>
  <si>
    <t>Thu 7/9/26</t>
  </si>
  <si>
    <t xml:space="preserve">   Integration platform definition</t>
  </si>
  <si>
    <t>2 days</t>
  </si>
  <si>
    <t>Wed 6/24/26</t>
  </si>
  <si>
    <t>Both</t>
  </si>
  <si>
    <t xml:space="preserve">   Communication protocol definition (SOAP/API/REST)</t>
  </si>
  <si>
    <t>3 days</t>
  </si>
  <si>
    <t>Thu 6/25/26</t>
  </si>
  <si>
    <t xml:space="preserve">   Exposure/Ingestion roles definition</t>
  </si>
  <si>
    <t>Fri 6/26/26</t>
  </si>
  <si>
    <t>Mon 6/29/26</t>
  </si>
  <si>
    <t>2,3</t>
  </si>
  <si>
    <t xml:space="preserve">   Webservice/API content confirmation</t>
  </si>
  <si>
    <t>4 days</t>
  </si>
  <si>
    <t>Tue 6/30/26</t>
  </si>
  <si>
    <t>Fri 7/3/26</t>
  </si>
  <si>
    <t xml:space="preserve">   Confirmation of NO Changes with Konesh</t>
  </si>
  <si>
    <t>Mon 7/6/26</t>
  </si>
  <si>
    <t>Tue 7/7/26</t>
  </si>
  <si>
    <t xml:space="preserve">   Documentation of Zyphers supported by S4 server</t>
  </si>
  <si>
    <t>Wed 7/8/26</t>
  </si>
  <si>
    <t xml:space="preserve">   Current Business Rules review</t>
  </si>
  <si>
    <t xml:space="preserve">   S4 expected scenarios</t>
  </si>
  <si>
    <t xml:space="preserve">   S4 Business Rules definition</t>
  </si>
  <si>
    <t>5 days</t>
  </si>
  <si>
    <t>10,9</t>
  </si>
  <si>
    <t xml:space="preserve">   Test cases / Scope definition</t>
  </si>
  <si>
    <t>25 days</t>
  </si>
  <si>
    <t>Fri 7/10/26</t>
  </si>
  <si>
    <t>Thu 8/13/26</t>
  </si>
  <si>
    <t>1,8</t>
  </si>
  <si>
    <t xml:space="preserve">   DB structure (Tables &amp; Stored Procedures)</t>
  </si>
  <si>
    <t>6 days</t>
  </si>
  <si>
    <t>Fri 7/17/26</t>
  </si>
  <si>
    <t xml:space="preserve">   Business Rules for records in Konesh</t>
  </si>
  <si>
    <t>Mon 7/20/26</t>
  </si>
  <si>
    <t>Fri 7/24/26</t>
  </si>
  <si>
    <t xml:space="preserve">   Business Rules for records not found in Konesh</t>
  </si>
  <si>
    <t>Mon 7/27/26</t>
  </si>
  <si>
    <t>Thu 7/30/26</t>
  </si>
  <si>
    <t xml:space="preserve">   Business Rules for records not found in S4</t>
  </si>
  <si>
    <t xml:space="preserve">   Data flow Control for two boxes requests</t>
  </si>
  <si>
    <t>Fri 7/31/26</t>
  </si>
  <si>
    <t>Wed 8/5/26</t>
  </si>
  <si>
    <t>16,17</t>
  </si>
  <si>
    <t xml:space="preserve">   Error Management</t>
  </si>
  <si>
    <t>Thu 8/6/26</t>
  </si>
  <si>
    <t>Fri 8/7/26</t>
  </si>
  <si>
    <t xml:space="preserve">   Test cases preparation</t>
  </si>
  <si>
    <t>11 days</t>
  </si>
  <si>
    <t>Mon 8/3/26</t>
  </si>
  <si>
    <t xml:space="preserve">   Unit Testing &amp; Documentation</t>
  </si>
  <si>
    <t>10 days</t>
  </si>
  <si>
    <t>30 days</t>
  </si>
  <si>
    <t>Fri 8/28/26</t>
  </si>
  <si>
    <t xml:space="preserve">   Webservice/API interfaces with S4</t>
  </si>
  <si>
    <t>7 days</t>
  </si>
  <si>
    <t>Tue 7/28/26</t>
  </si>
  <si>
    <t xml:space="preserve">      DNA 4.0</t>
  </si>
  <si>
    <t xml:space="preserve">      Heineken</t>
  </si>
  <si>
    <t xml:space="preserve">   Double flow control adjustments for ECC</t>
  </si>
  <si>
    <t>8 days</t>
  </si>
  <si>
    <t xml:space="preserve">   Recurrency</t>
  </si>
  <si>
    <t xml:space="preserve">   Error management</t>
  </si>
  <si>
    <t>Fri 8/14/26</t>
  </si>
  <si>
    <t>Tue 8/18/26</t>
  </si>
  <si>
    <t xml:space="preserve">   Unit Testing</t>
  </si>
  <si>
    <t>Wed 8/19/26</t>
  </si>
  <si>
    <t>Mon 8/17/26</t>
  </si>
  <si>
    <t>60 days</t>
  </si>
  <si>
    <t>Mon 9/14/26</t>
  </si>
  <si>
    <t xml:space="preserve">   Test Cases Preparation</t>
  </si>
  <si>
    <t>Mon 8/31/26</t>
  </si>
  <si>
    <t>Fri 9/4/26</t>
  </si>
  <si>
    <t>13,22</t>
  </si>
  <si>
    <t xml:space="preserve">      Exist in Konesh, and solved with Konesh</t>
  </si>
  <si>
    <t xml:space="preserve">      Exist in Konesh, requires S4 validation</t>
  </si>
  <si>
    <t xml:space="preserve">      Exists in S4, unique record found - all scenarios</t>
  </si>
  <si>
    <t xml:space="preserve">      Exists in S4, multiple records found - all scenarios</t>
  </si>
  <si>
    <t xml:space="preserve">      Do not exist in S4</t>
  </si>
  <si>
    <t xml:space="preserve">   End to End interfacing testing</t>
  </si>
  <si>
    <t>Both IT</t>
  </si>
  <si>
    <t xml:space="preserve">   Test Cases execution</t>
  </si>
  <si>
    <t>Mon 9/7/26</t>
  </si>
  <si>
    <t>Thu 9/10/26</t>
  </si>
  <si>
    <t>32,38</t>
  </si>
  <si>
    <t xml:space="preserve">   Functionality adjustmens</t>
  </si>
  <si>
    <t>Fri 9/11/26</t>
  </si>
  <si>
    <t xml:space="preserve">   Integral Testing documentation</t>
  </si>
  <si>
    <t>Go-Live</t>
  </si>
  <si>
    <t>0 days</t>
  </si>
  <si>
    <t xml:space="preserve">   Based on Heineken Releasing calendar</t>
  </si>
  <si>
    <t>ID</t>
  </si>
  <si>
    <t>Phase 0</t>
  </si>
  <si>
    <t>Phase 1</t>
  </si>
  <si>
    <t>Phase 2</t>
  </si>
  <si>
    <t>Phase 3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</si>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</sst>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ndara Light"/>
      <family val="2"/>
    </font>
    <font>
      <sz val="11"/>
      <color theme="1"/>
      <name val="Calibri Light"/>
      <family val="2"/>
    </font>
    <font>
      <b/>
      <sz val="11"/>
      <color rgb="FF000000"/>
      <name val="Calibri Light"/>
      <family val="2"/>
    </font>
    <font>
      <sz val="11"/>
      <color theme="1"/>
      <name val="Calibri"/>
      <family val="2"/>
    </font>
    <font>
      <sz val="11"/>
      <color rgb="FF000000"/>
      <name val="Candara Light"/>
      <family val="2"/>
    </font>
    <font>
      <sz val="11"/>
      <color rgb="FF000000"/>
      <name val="Calibri Light"/>
      <family val="2"/>
    </font>
    <font>
      <sz val="11"/>
      <color rgb="FF000000"/>
      <name val="Calibri"/>
      <family val="2"/>
    </font>
    <font>
      <sz val="9"/>
      <color rgb="FF363636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B1BBCC"/>
      </left>
      <right style="thin">
        <color rgb="FFB1BBCC"/>
      </right>
      <top style="medium">
        <color indexed="64"/>
      </top>
      <bottom style="thin">
        <color rgb="FFB1BBCC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medium">
        <color indexed="64"/>
      </bottom>
      <diagonal/>
    </border>
    <border>
      <left style="thin">
        <color rgb="FFB1BB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/>
      <top style="medium">
        <color indexed="64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4" fontId="0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6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/>
    </xf>
    <xf numFmtId="0" fontId="8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vertical="center" wrapText="1"/>
    </xf>
    <xf numFmtId="0" fontId="9" fillId="5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/>
    </xf>
    <xf numFmtId="0" fontId="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vertical="center" wrapText="1"/>
    </xf>
    <xf numFmtId="0" fontId="9" fillId="6" borderId="7" xfId="0" applyFont="1" applyFill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/>
    </xf>
    <xf numFmtId="0" fontId="4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vertical="center" wrapText="1"/>
    </xf>
    <xf numFmtId="0" fontId="10" fillId="6" borderId="11" xfId="0" applyFont="1" applyFill="1" applyBorder="1" applyAlignment="1">
      <alignment vertical="center" wrapText="1"/>
    </xf>
    <xf numFmtId="0" fontId="7" fillId="6" borderId="11" xfId="0" applyFont="1" applyFill="1" applyBorder="1" applyAlignment="1">
      <alignment vertical="center" wrapText="1"/>
    </xf>
    <xf numFmtId="0" fontId="10" fillId="6" borderId="12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vertical="center" wrapText="1"/>
    </xf>
    <xf numFmtId="0" fontId="10" fillId="5" borderId="12" xfId="0" applyFont="1" applyFill="1" applyBorder="1" applyAlignment="1">
      <alignment vertical="center" wrapText="1"/>
    </xf>
    <xf numFmtId="0" fontId="7" fillId="7" borderId="10" xfId="0" applyFont="1" applyFill="1" applyBorder="1" applyAlignment="1">
      <alignment vertical="center" wrapText="1"/>
    </xf>
    <xf numFmtId="0" fontId="7" fillId="7" borderId="11" xfId="0" applyFont="1" applyFill="1" applyBorder="1" applyAlignment="1">
      <alignment vertical="center" wrapText="1"/>
    </xf>
    <xf numFmtId="0" fontId="10" fillId="7" borderId="11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9" fontId="0" fillId="7" borderId="14" xfId="2" applyFont="1" applyFill="1" applyBorder="1" applyAlignment="1">
      <alignment horizontal="center" vertical="center"/>
    </xf>
    <xf numFmtId="9" fontId="0" fillId="7" borderId="15" xfId="2" applyFont="1" applyFill="1" applyBorder="1" applyAlignment="1">
      <alignment horizontal="center" vertical="center"/>
    </xf>
    <xf numFmtId="9" fontId="0" fillId="7" borderId="17" xfId="2" applyFont="1" applyFill="1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0" fillId="5" borderId="14" xfId="2" applyFont="1" applyFill="1" applyBorder="1" applyAlignment="1">
      <alignment horizontal="center" vertical="center"/>
    </xf>
    <xf numFmtId="9" fontId="0" fillId="5" borderId="15" xfId="2" applyFont="1" applyFill="1" applyBorder="1" applyAlignment="1">
      <alignment horizontal="center" vertical="center"/>
    </xf>
    <xf numFmtId="9" fontId="0" fillId="5" borderId="17" xfId="2" applyFont="1" applyFill="1" applyBorder="1" applyAlignment="1">
      <alignment horizontal="center" vertical="center"/>
    </xf>
    <xf numFmtId="9" fontId="0" fillId="6" borderId="14" xfId="2" applyFont="1" applyFill="1" applyBorder="1" applyAlignment="1">
      <alignment horizontal="center" vertical="center"/>
    </xf>
    <xf numFmtId="9" fontId="0" fillId="6" borderId="15" xfId="2" applyFont="1" applyFill="1" applyBorder="1" applyAlignment="1">
      <alignment horizontal="center" vertical="center"/>
    </xf>
    <xf numFmtId="9" fontId="0" fillId="6" borderId="17" xfId="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textRotation="180"/>
    </xf>
    <xf numFmtId="0" fontId="1" fillId="0" borderId="13" xfId="0" applyFont="1" applyBorder="1" applyAlignment="1">
      <alignment horizontal="center" vertical="center" textRotation="180"/>
    </xf>
    <xf numFmtId="0" fontId="1" fillId="0" borderId="9" xfId="0" applyFont="1" applyBorder="1" applyAlignment="1">
      <alignment horizontal="center" vertical="center" textRotation="180"/>
    </xf>
    <xf numFmtId="0" fontId="1" fillId="0" borderId="16" xfId="0" applyFont="1" applyBorder="1" applyAlignment="1">
      <alignment horizontal="center" vertical="center" textRotation="180"/>
    </xf>
    <xf numFmtId="0" fontId="1" fillId="0" borderId="13" xfId="0" applyFont="1" applyBorder="1" applyAlignment="1">
      <alignment horizontal="center" vertical="center" textRotation="180" wrapText="1"/>
    </xf>
    <xf numFmtId="0" fontId="1" fillId="0" borderId="16" xfId="0" applyFont="1" applyBorder="1" applyAlignment="1">
      <alignment horizontal="center" vertical="center" textRotation="180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1B95-9A0C-40B0-B621-82D0BB72DBB3}">
  <dimension ref="A1:G44"/>
  <sheetViews>
    <sheetView workbookViewId="0">
      <selection activeCell="I1" sqref="I1:I1048576"/>
    </sheetView>
  </sheetViews>
  <sheetFormatPr defaultColWidth="10.90625" defaultRowHeight="14.5" x14ac:dyDescent="0.35"/>
  <cols>
    <col min="2" max="2" width="23.36328125" customWidth="1"/>
    <col min="3" max="3" width="46.90625" customWidth="1"/>
    <col min="5" max="5" width="14.453125" bestFit="1" customWidth="1"/>
    <col min="7" max="7" width="19.906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</row>
    <row r="2" spans="1:7" x14ac:dyDescent="0.35">
      <c r="A2" s="1"/>
      <c r="B2" s="1"/>
      <c r="C2" s="2" t="s">
        <v>49</v>
      </c>
      <c r="D2" s="1"/>
      <c r="E2" s="1"/>
      <c r="F2" s="1"/>
      <c r="G2" s="1"/>
    </row>
    <row r="3" spans="1:7" x14ac:dyDescent="0.35">
      <c r="A3" s="1"/>
      <c r="B3" s="1"/>
      <c r="C3" s="2" t="s">
        <v>50</v>
      </c>
      <c r="D3" s="1"/>
      <c r="E3" s="1"/>
      <c r="F3" s="1"/>
      <c r="G3" s="1"/>
    </row>
    <row r="4" spans="1:7" x14ac:dyDescent="0.35">
      <c r="A4" s="1"/>
      <c r="B4" s="1"/>
      <c r="C4" s="2" t="s">
        <v>51</v>
      </c>
      <c r="D4" s="1"/>
      <c r="E4" s="1"/>
      <c r="F4" s="1"/>
      <c r="G4" s="1"/>
    </row>
    <row r="5" spans="1:7" x14ac:dyDescent="0.35">
      <c r="A5" s="1"/>
      <c r="B5" s="1"/>
      <c r="C5" s="2" t="s">
        <v>52</v>
      </c>
      <c r="D5" s="1"/>
      <c r="E5" s="1"/>
      <c r="F5" s="1"/>
      <c r="G5" s="1"/>
    </row>
    <row r="6" spans="1:7" x14ac:dyDescent="0.35">
      <c r="A6" s="1"/>
      <c r="B6" s="1"/>
      <c r="C6" s="2" t="s">
        <v>53</v>
      </c>
      <c r="D6" s="1"/>
      <c r="E6" s="1"/>
      <c r="F6" s="1"/>
      <c r="G6" s="1"/>
    </row>
    <row r="7" spans="1:7" x14ac:dyDescent="0.35">
      <c r="A7" s="1"/>
      <c r="B7" s="1"/>
      <c r="C7" s="2" t="s">
        <v>54</v>
      </c>
      <c r="D7" s="1"/>
      <c r="E7" s="1"/>
      <c r="F7" s="1"/>
      <c r="G7" s="1"/>
    </row>
    <row r="8" spans="1:7" x14ac:dyDescent="0.35">
      <c r="A8" s="1"/>
      <c r="B8" s="1"/>
      <c r="C8" s="5" t="s">
        <v>55</v>
      </c>
      <c r="D8" s="1"/>
      <c r="E8" s="1"/>
      <c r="F8" s="1"/>
      <c r="G8" s="1"/>
    </row>
    <row r="9" spans="1:7" x14ac:dyDescent="0.35">
      <c r="A9" s="1"/>
      <c r="B9" s="1"/>
      <c r="C9" s="5"/>
      <c r="D9" s="1"/>
      <c r="E9" s="1"/>
      <c r="F9" s="1"/>
      <c r="G9" s="1"/>
    </row>
    <row r="10" spans="1:7" ht="29" x14ac:dyDescent="0.35">
      <c r="A10" s="2">
        <v>0</v>
      </c>
      <c r="B10" s="2" t="s">
        <v>6</v>
      </c>
      <c r="C10" s="2" t="s">
        <v>7</v>
      </c>
      <c r="D10" s="3">
        <v>46196</v>
      </c>
      <c r="E10" s="3">
        <v>46196</v>
      </c>
      <c r="F10" s="2">
        <v>15</v>
      </c>
      <c r="G10" s="4"/>
    </row>
    <row r="11" spans="1:7" x14ac:dyDescent="0.35">
      <c r="A11" s="2">
        <v>1</v>
      </c>
      <c r="B11" s="2" t="s">
        <v>8</v>
      </c>
      <c r="C11" s="2" t="s">
        <v>9</v>
      </c>
      <c r="D11" s="3">
        <v>46230</v>
      </c>
      <c r="E11" s="3">
        <v>46255</v>
      </c>
      <c r="F11" s="2">
        <v>20</v>
      </c>
      <c r="G11" s="4"/>
    </row>
    <row r="12" spans="1:7" x14ac:dyDescent="0.35">
      <c r="A12" s="2">
        <v>1.1000000000000001</v>
      </c>
      <c r="B12" s="2" t="s">
        <v>10</v>
      </c>
      <c r="C12" s="2" t="s">
        <v>11</v>
      </c>
      <c r="D12" s="3">
        <v>46230</v>
      </c>
      <c r="E12" s="3">
        <v>46234</v>
      </c>
      <c r="F12" s="2">
        <v>5</v>
      </c>
      <c r="G12" s="4"/>
    </row>
    <row r="13" spans="1:7" x14ac:dyDescent="0.35">
      <c r="A13" s="2">
        <v>1.2</v>
      </c>
      <c r="B13" s="2" t="s">
        <v>12</v>
      </c>
      <c r="C13" s="2" t="s">
        <v>13</v>
      </c>
      <c r="D13" s="3">
        <v>46237</v>
      </c>
      <c r="E13" s="3">
        <v>46241</v>
      </c>
      <c r="F13" s="2">
        <v>5</v>
      </c>
      <c r="G13" s="4"/>
    </row>
    <row r="14" spans="1:7" x14ac:dyDescent="0.35">
      <c r="A14" s="2">
        <v>1.3</v>
      </c>
      <c r="B14" s="2" t="s">
        <v>14</v>
      </c>
      <c r="C14" s="2" t="s">
        <v>15</v>
      </c>
      <c r="D14" s="3">
        <v>46244</v>
      </c>
      <c r="E14" s="3">
        <v>46248</v>
      </c>
      <c r="F14" s="2">
        <v>5</v>
      </c>
      <c r="G14" s="4"/>
    </row>
    <row r="15" spans="1:7" x14ac:dyDescent="0.35">
      <c r="A15" s="2">
        <v>1.4</v>
      </c>
      <c r="B15" s="2" t="s">
        <v>16</v>
      </c>
      <c r="C15" s="2" t="s">
        <v>17</v>
      </c>
      <c r="D15" s="3">
        <v>46251</v>
      </c>
      <c r="E15" s="3">
        <v>46255</v>
      </c>
      <c r="F15" s="2">
        <v>5</v>
      </c>
      <c r="G15" s="4"/>
    </row>
    <row r="16" spans="1:7" x14ac:dyDescent="0.35">
      <c r="A16" s="2">
        <v>2</v>
      </c>
      <c r="B16" s="2" t="s">
        <v>18</v>
      </c>
      <c r="C16" s="2" t="s">
        <v>19</v>
      </c>
      <c r="D16" s="3">
        <v>46258</v>
      </c>
      <c r="E16" s="3">
        <v>46283</v>
      </c>
      <c r="F16" s="2">
        <v>20</v>
      </c>
      <c r="G16" s="4"/>
    </row>
    <row r="17" spans="1:7" x14ac:dyDescent="0.35">
      <c r="A17" s="2">
        <v>2.1</v>
      </c>
      <c r="B17" s="2" t="s">
        <v>20</v>
      </c>
      <c r="C17" s="2" t="s">
        <v>21</v>
      </c>
      <c r="D17" s="3">
        <v>46258</v>
      </c>
      <c r="E17" s="3">
        <v>46269</v>
      </c>
      <c r="F17" s="2">
        <v>10</v>
      </c>
      <c r="G17" s="4"/>
    </row>
    <row r="18" spans="1:7" x14ac:dyDescent="0.35">
      <c r="A18" s="2">
        <v>2.2000000000000002</v>
      </c>
      <c r="B18" s="2" t="s">
        <v>22</v>
      </c>
      <c r="C18" s="2" t="s">
        <v>23</v>
      </c>
      <c r="D18" s="3">
        <v>46272</v>
      </c>
      <c r="E18" s="3">
        <v>46283</v>
      </c>
      <c r="F18" s="2">
        <v>10</v>
      </c>
      <c r="G18" s="4"/>
    </row>
    <row r="19" spans="1:7" x14ac:dyDescent="0.35">
      <c r="A19" s="2">
        <v>3</v>
      </c>
      <c r="B19" s="2" t="s">
        <v>24</v>
      </c>
      <c r="C19" s="2" t="s">
        <v>25</v>
      </c>
      <c r="D19" s="3">
        <v>46286</v>
      </c>
      <c r="E19" s="3">
        <v>46346</v>
      </c>
      <c r="F19" s="2">
        <v>45</v>
      </c>
      <c r="G19" s="4"/>
    </row>
    <row r="20" spans="1:7" x14ac:dyDescent="0.35">
      <c r="A20" s="2">
        <v>3.1</v>
      </c>
      <c r="B20" s="2" t="s">
        <v>26</v>
      </c>
      <c r="C20" s="2" t="s">
        <v>27</v>
      </c>
      <c r="D20" s="3">
        <v>46286</v>
      </c>
      <c r="E20" s="3">
        <v>46325</v>
      </c>
      <c r="F20" s="2">
        <v>30</v>
      </c>
      <c r="G20" s="4"/>
    </row>
    <row r="21" spans="1:7" x14ac:dyDescent="0.35">
      <c r="A21" s="2">
        <v>3.2</v>
      </c>
      <c r="B21" s="2" t="s">
        <v>28</v>
      </c>
      <c r="C21" s="2" t="s">
        <v>29</v>
      </c>
      <c r="D21" s="3">
        <v>46328</v>
      </c>
      <c r="E21" s="3">
        <v>46346</v>
      </c>
      <c r="F21" s="2">
        <v>15</v>
      </c>
      <c r="G21" s="4"/>
    </row>
    <row r="22" spans="1:7" x14ac:dyDescent="0.35">
      <c r="A22" s="2">
        <v>4</v>
      </c>
      <c r="B22" s="2" t="s">
        <v>30</v>
      </c>
      <c r="C22" s="2" t="s">
        <v>31</v>
      </c>
      <c r="D22" s="3">
        <v>46349</v>
      </c>
      <c r="E22" s="3">
        <v>46374</v>
      </c>
      <c r="F22" s="2">
        <v>20</v>
      </c>
      <c r="G22" s="4"/>
    </row>
    <row r="23" spans="1:7" x14ac:dyDescent="0.35">
      <c r="A23" s="2">
        <v>4.0999999999999996</v>
      </c>
      <c r="B23" s="2" t="s">
        <v>32</v>
      </c>
      <c r="C23" s="2" t="s">
        <v>33</v>
      </c>
      <c r="D23" s="3">
        <v>46349</v>
      </c>
      <c r="E23" s="3">
        <v>46353</v>
      </c>
      <c r="F23" s="2">
        <v>5</v>
      </c>
      <c r="G23" s="4"/>
    </row>
    <row r="24" spans="1:7" x14ac:dyDescent="0.35">
      <c r="A24" s="2">
        <v>4.2</v>
      </c>
      <c r="B24" s="2" t="s">
        <v>34</v>
      </c>
      <c r="C24" s="2" t="s">
        <v>35</v>
      </c>
      <c r="D24" s="3">
        <v>46356</v>
      </c>
      <c r="E24" s="3">
        <v>46360</v>
      </c>
      <c r="F24" s="2">
        <v>5</v>
      </c>
      <c r="G24" s="4"/>
    </row>
    <row r="25" spans="1:7" x14ac:dyDescent="0.35">
      <c r="A25" s="2">
        <v>4.3</v>
      </c>
      <c r="B25" s="2" t="s">
        <v>36</v>
      </c>
      <c r="C25" s="2" t="s">
        <v>37</v>
      </c>
      <c r="D25" s="3">
        <v>46363</v>
      </c>
      <c r="E25" s="3">
        <v>46367</v>
      </c>
      <c r="F25" s="2">
        <v>5</v>
      </c>
      <c r="G25" s="4"/>
    </row>
    <row r="26" spans="1:7" x14ac:dyDescent="0.35">
      <c r="A26" s="2">
        <v>4.4000000000000004</v>
      </c>
      <c r="B26" s="2" t="s">
        <v>38</v>
      </c>
      <c r="C26" s="2" t="s">
        <v>39</v>
      </c>
      <c r="D26" s="3">
        <v>46370</v>
      </c>
      <c r="E26" s="3">
        <v>46374</v>
      </c>
      <c r="F26" s="2">
        <v>5</v>
      </c>
      <c r="G26" s="4"/>
    </row>
    <row r="27" spans="1:7" x14ac:dyDescent="0.35">
      <c r="A27" s="2">
        <v>5</v>
      </c>
      <c r="B27" s="2" t="s">
        <v>40</v>
      </c>
      <c r="C27" s="2" t="s">
        <v>41</v>
      </c>
      <c r="D27" s="3">
        <v>46377</v>
      </c>
      <c r="E27" s="3">
        <v>46402</v>
      </c>
      <c r="F27" s="2">
        <v>20</v>
      </c>
      <c r="G27" s="4"/>
    </row>
    <row r="28" spans="1:7" x14ac:dyDescent="0.35">
      <c r="A28" s="2">
        <v>5.0999999999999996</v>
      </c>
      <c r="B28" s="2" t="s">
        <v>42</v>
      </c>
      <c r="C28" s="2" t="s">
        <v>43</v>
      </c>
      <c r="D28" s="3">
        <v>46377</v>
      </c>
      <c r="E28" s="3">
        <v>46379</v>
      </c>
      <c r="F28" s="2">
        <v>3</v>
      </c>
      <c r="G28" s="4"/>
    </row>
    <row r="29" spans="1:7" x14ac:dyDescent="0.35">
      <c r="A29" s="2">
        <v>5.2</v>
      </c>
      <c r="B29" s="2" t="s">
        <v>44</v>
      </c>
      <c r="C29" s="2" t="s">
        <v>45</v>
      </c>
      <c r="D29" s="3">
        <v>46384</v>
      </c>
      <c r="E29" s="3">
        <v>46402</v>
      </c>
      <c r="F29" s="2">
        <v>17</v>
      </c>
      <c r="G29" s="4"/>
    </row>
    <row r="37" spans="3:5" x14ac:dyDescent="0.35">
      <c r="C37" s="1" t="s">
        <v>47</v>
      </c>
      <c r="D37" s="1" t="s">
        <v>48</v>
      </c>
    </row>
    <row r="38" spans="3:5" x14ac:dyDescent="0.35">
      <c r="C38" s="2" t="s">
        <v>49</v>
      </c>
      <c r="D38" s="4">
        <v>18000</v>
      </c>
    </row>
    <row r="39" spans="3:5" x14ac:dyDescent="0.35">
      <c r="C39" s="2" t="s">
        <v>50</v>
      </c>
      <c r="D39" s="4">
        <v>24000</v>
      </c>
    </row>
    <row r="40" spans="3:5" x14ac:dyDescent="0.35">
      <c r="C40" s="2" t="s">
        <v>51</v>
      </c>
      <c r="D40" s="4">
        <v>28000</v>
      </c>
    </row>
    <row r="41" spans="3:5" x14ac:dyDescent="0.35">
      <c r="C41" s="2" t="s">
        <v>52</v>
      </c>
      <c r="D41" s="4">
        <v>85000</v>
      </c>
    </row>
    <row r="42" spans="3:5" x14ac:dyDescent="0.35">
      <c r="C42" s="2" t="s">
        <v>53</v>
      </c>
      <c r="D42" s="4">
        <v>24000</v>
      </c>
    </row>
    <row r="43" spans="3:5" x14ac:dyDescent="0.35">
      <c r="C43" s="2" t="s">
        <v>54</v>
      </c>
      <c r="D43" s="4">
        <v>18000</v>
      </c>
    </row>
    <row r="44" spans="3:5" ht="29" x14ac:dyDescent="0.35">
      <c r="C44" s="5" t="s">
        <v>55</v>
      </c>
      <c r="D44" s="5" t="s">
        <v>56</v>
      </c>
      <c r="E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22D3-2834-4F2D-A963-E70B615F8B5F}">
  <dimension ref="A1:I49"/>
  <sheetViews>
    <sheetView tabSelected="1" workbookViewId="0">
      <selection activeCell="B31" sqref="B31"/>
    </sheetView>
  </sheetViews>
  <sheetFormatPr defaultRowHeight="14.5" x14ac:dyDescent="0.35"/>
  <cols>
    <col min="1" max="1" width="5.453125" style="8" customWidth="1"/>
    <col min="2" max="2" width="57.90625" customWidth="1"/>
    <col min="4" max="5" width="14.36328125" customWidth="1"/>
    <col min="6" max="6" width="13.90625" style="7" customWidth="1"/>
    <col min="7" max="7" width="12.90625" bestFit="1" customWidth="1"/>
    <col min="8" max="8" width="6" style="92" customWidth="1"/>
    <col min="9" max="9" width="8.7265625" style="7"/>
  </cols>
  <sheetData>
    <row r="1" spans="1:9" ht="15" thickBot="1" x14ac:dyDescent="0.4">
      <c r="A1" s="9" t="s">
        <v>165</v>
      </c>
      <c r="B1" s="10" t="s">
        <v>65</v>
      </c>
      <c r="C1" s="10" t="s">
        <v>66</v>
      </c>
      <c r="D1" s="10" t="s">
        <v>67</v>
      </c>
      <c r="E1" s="10" t="s">
        <v>68</v>
      </c>
      <c r="F1" s="11" t="s">
        <v>69</v>
      </c>
      <c r="G1" s="10" t="s">
        <v>70</v>
      </c>
      <c r="I1" s="66" t="s">
        <v>170</v>
      </c>
    </row>
    <row r="2" spans="1:9" x14ac:dyDescent="0.35">
      <c r="A2" s="33">
        <v>1</v>
      </c>
      <c r="B2" s="34" t="s">
        <v>57</v>
      </c>
      <c r="C2" s="35" t="s">
        <v>71</v>
      </c>
      <c r="D2" s="35" t="s">
        <v>72</v>
      </c>
      <c r="E2" s="35" t="s">
        <v>73</v>
      </c>
      <c r="F2" s="36"/>
      <c r="G2" s="67"/>
      <c r="H2" s="93" t="s">
        <v>166</v>
      </c>
      <c r="I2" s="89">
        <v>0.4</v>
      </c>
    </row>
    <row r="3" spans="1:9" x14ac:dyDescent="0.35">
      <c r="A3" s="37">
        <f>A2+1</f>
        <v>2</v>
      </c>
      <c r="B3" s="38" t="s">
        <v>74</v>
      </c>
      <c r="C3" s="39" t="s">
        <v>75</v>
      </c>
      <c r="D3" s="39" t="s">
        <v>72</v>
      </c>
      <c r="E3" s="39" t="s">
        <v>76</v>
      </c>
      <c r="F3" s="40"/>
      <c r="G3" s="68" t="s">
        <v>77</v>
      </c>
      <c r="H3" s="94"/>
      <c r="I3" s="90"/>
    </row>
    <row r="4" spans="1:9" x14ac:dyDescent="0.35">
      <c r="A4" s="37">
        <f t="shared" ref="A4:A49" si="0">A3+1</f>
        <v>3</v>
      </c>
      <c r="B4" s="38" t="s">
        <v>78</v>
      </c>
      <c r="C4" s="39" t="s">
        <v>79</v>
      </c>
      <c r="D4" s="39" t="s">
        <v>72</v>
      </c>
      <c r="E4" s="39" t="s">
        <v>80</v>
      </c>
      <c r="F4" s="40"/>
      <c r="G4" s="68" t="s">
        <v>77</v>
      </c>
      <c r="H4" s="94"/>
      <c r="I4" s="90"/>
    </row>
    <row r="5" spans="1:9" x14ac:dyDescent="0.35">
      <c r="A5" s="37">
        <f t="shared" si="0"/>
        <v>4</v>
      </c>
      <c r="B5" s="38" t="s">
        <v>81</v>
      </c>
      <c r="C5" s="39" t="s">
        <v>75</v>
      </c>
      <c r="D5" s="39" t="s">
        <v>82</v>
      </c>
      <c r="E5" s="39" t="s">
        <v>83</v>
      </c>
      <c r="F5" s="41" t="s">
        <v>84</v>
      </c>
      <c r="G5" s="68" t="s">
        <v>77</v>
      </c>
      <c r="H5" s="94"/>
      <c r="I5" s="90"/>
    </row>
    <row r="6" spans="1:9" x14ac:dyDescent="0.35">
      <c r="A6" s="37">
        <f t="shared" si="0"/>
        <v>5</v>
      </c>
      <c r="B6" s="38" t="s">
        <v>85</v>
      </c>
      <c r="C6" s="39" t="s">
        <v>86</v>
      </c>
      <c r="D6" s="39" t="s">
        <v>87</v>
      </c>
      <c r="E6" s="39" t="s">
        <v>88</v>
      </c>
      <c r="F6" s="41">
        <v>4</v>
      </c>
      <c r="G6" s="68" t="s">
        <v>77</v>
      </c>
      <c r="H6" s="94"/>
      <c r="I6" s="90"/>
    </row>
    <row r="7" spans="1:9" x14ac:dyDescent="0.35">
      <c r="A7" s="37">
        <f t="shared" si="0"/>
        <v>6</v>
      </c>
      <c r="B7" s="38" t="s">
        <v>89</v>
      </c>
      <c r="C7" s="39" t="s">
        <v>75</v>
      </c>
      <c r="D7" s="39" t="s">
        <v>90</v>
      </c>
      <c r="E7" s="39" t="s">
        <v>91</v>
      </c>
      <c r="F7" s="41">
        <v>5</v>
      </c>
      <c r="G7" s="68" t="s">
        <v>61</v>
      </c>
      <c r="H7" s="94"/>
      <c r="I7" s="90"/>
    </row>
    <row r="8" spans="1:9" x14ac:dyDescent="0.35">
      <c r="A8" s="37">
        <f t="shared" si="0"/>
        <v>7</v>
      </c>
      <c r="B8" s="38" t="s">
        <v>92</v>
      </c>
      <c r="C8" s="39" t="s">
        <v>75</v>
      </c>
      <c r="D8" s="39" t="s">
        <v>93</v>
      </c>
      <c r="E8" s="39" t="s">
        <v>73</v>
      </c>
      <c r="F8" s="41">
        <v>6</v>
      </c>
      <c r="G8" s="68" t="s">
        <v>61</v>
      </c>
      <c r="H8" s="94"/>
      <c r="I8" s="90"/>
    </row>
    <row r="9" spans="1:9" x14ac:dyDescent="0.35">
      <c r="A9" s="37">
        <f t="shared" si="0"/>
        <v>8</v>
      </c>
      <c r="B9" s="42" t="s">
        <v>58</v>
      </c>
      <c r="C9" s="43" t="s">
        <v>71</v>
      </c>
      <c r="D9" s="43" t="s">
        <v>72</v>
      </c>
      <c r="E9" s="43" t="s">
        <v>73</v>
      </c>
      <c r="F9" s="40"/>
      <c r="G9" s="69"/>
      <c r="H9" s="94"/>
      <c r="I9" s="90"/>
    </row>
    <row r="10" spans="1:9" x14ac:dyDescent="0.35">
      <c r="A10" s="37">
        <f t="shared" si="0"/>
        <v>9</v>
      </c>
      <c r="B10" s="38" t="s">
        <v>94</v>
      </c>
      <c r="C10" s="39" t="s">
        <v>86</v>
      </c>
      <c r="D10" s="39" t="s">
        <v>72</v>
      </c>
      <c r="E10" s="39" t="s">
        <v>82</v>
      </c>
      <c r="F10" s="40"/>
      <c r="G10" s="68" t="s">
        <v>77</v>
      </c>
      <c r="H10" s="94"/>
      <c r="I10" s="90"/>
    </row>
    <row r="11" spans="1:9" x14ac:dyDescent="0.35">
      <c r="A11" s="37">
        <f t="shared" si="0"/>
        <v>10</v>
      </c>
      <c r="B11" s="38" t="s">
        <v>95</v>
      </c>
      <c r="C11" s="39" t="s">
        <v>86</v>
      </c>
      <c r="D11" s="39" t="s">
        <v>72</v>
      </c>
      <c r="E11" s="39" t="s">
        <v>82</v>
      </c>
      <c r="F11" s="40"/>
      <c r="G11" s="68" t="s">
        <v>77</v>
      </c>
      <c r="H11" s="94"/>
      <c r="I11" s="90"/>
    </row>
    <row r="12" spans="1:9" x14ac:dyDescent="0.35">
      <c r="A12" s="37">
        <f t="shared" si="0"/>
        <v>11</v>
      </c>
      <c r="B12" s="38" t="s">
        <v>96</v>
      </c>
      <c r="C12" s="39" t="s">
        <v>97</v>
      </c>
      <c r="D12" s="39" t="s">
        <v>83</v>
      </c>
      <c r="E12" s="39" t="s">
        <v>88</v>
      </c>
      <c r="F12" s="41" t="s">
        <v>98</v>
      </c>
      <c r="G12" s="68" t="s">
        <v>77</v>
      </c>
      <c r="H12" s="94"/>
      <c r="I12" s="90"/>
    </row>
    <row r="13" spans="1:9" ht="15" thickBot="1" x14ac:dyDescent="0.4">
      <c r="A13" s="44">
        <f t="shared" si="0"/>
        <v>12</v>
      </c>
      <c r="B13" s="45" t="s">
        <v>99</v>
      </c>
      <c r="C13" s="46" t="s">
        <v>86</v>
      </c>
      <c r="D13" s="46" t="s">
        <v>90</v>
      </c>
      <c r="E13" s="46" t="s">
        <v>73</v>
      </c>
      <c r="F13" s="47">
        <v>11</v>
      </c>
      <c r="G13" s="70" t="s">
        <v>61</v>
      </c>
      <c r="H13" s="95"/>
      <c r="I13" s="91"/>
    </row>
    <row r="14" spans="1:9" x14ac:dyDescent="0.35">
      <c r="A14" s="17">
        <f t="shared" si="0"/>
        <v>13</v>
      </c>
      <c r="B14" s="18" t="s">
        <v>59</v>
      </c>
      <c r="C14" s="19" t="s">
        <v>100</v>
      </c>
      <c r="D14" s="19" t="s">
        <v>101</v>
      </c>
      <c r="E14" s="19" t="s">
        <v>102</v>
      </c>
      <c r="F14" s="20" t="s">
        <v>103</v>
      </c>
      <c r="G14" s="71"/>
      <c r="H14" s="93" t="s">
        <v>167</v>
      </c>
      <c r="I14" s="86">
        <v>0.3</v>
      </c>
    </row>
    <row r="15" spans="1:9" x14ac:dyDescent="0.35">
      <c r="A15" s="21">
        <f t="shared" si="0"/>
        <v>14</v>
      </c>
      <c r="B15" s="22" t="s">
        <v>104</v>
      </c>
      <c r="C15" s="23" t="s">
        <v>105</v>
      </c>
      <c r="D15" s="23" t="s">
        <v>101</v>
      </c>
      <c r="E15" s="23" t="s">
        <v>106</v>
      </c>
      <c r="F15" s="24"/>
      <c r="G15" s="72" t="s">
        <v>62</v>
      </c>
      <c r="H15" s="94"/>
      <c r="I15" s="87"/>
    </row>
    <row r="16" spans="1:9" x14ac:dyDescent="0.35">
      <c r="A16" s="21">
        <f t="shared" si="0"/>
        <v>15</v>
      </c>
      <c r="B16" s="22" t="s">
        <v>107</v>
      </c>
      <c r="C16" s="23" t="s">
        <v>97</v>
      </c>
      <c r="D16" s="23" t="s">
        <v>108</v>
      </c>
      <c r="E16" s="23" t="s">
        <v>109</v>
      </c>
      <c r="F16" s="25">
        <v>14</v>
      </c>
      <c r="G16" s="72" t="s">
        <v>62</v>
      </c>
      <c r="H16" s="94"/>
      <c r="I16" s="87"/>
    </row>
    <row r="17" spans="1:9" x14ac:dyDescent="0.35">
      <c r="A17" s="21">
        <f t="shared" si="0"/>
        <v>16</v>
      </c>
      <c r="B17" s="22" t="s">
        <v>110</v>
      </c>
      <c r="C17" s="23" t="s">
        <v>86</v>
      </c>
      <c r="D17" s="23" t="s">
        <v>111</v>
      </c>
      <c r="E17" s="23" t="s">
        <v>112</v>
      </c>
      <c r="F17" s="25">
        <v>15</v>
      </c>
      <c r="G17" s="72" t="s">
        <v>62</v>
      </c>
      <c r="H17" s="94"/>
      <c r="I17" s="87"/>
    </row>
    <row r="18" spans="1:9" x14ac:dyDescent="0.35">
      <c r="A18" s="21">
        <f t="shared" si="0"/>
        <v>17</v>
      </c>
      <c r="B18" s="22" t="s">
        <v>113</v>
      </c>
      <c r="C18" s="23" t="s">
        <v>86</v>
      </c>
      <c r="D18" s="23" t="s">
        <v>111</v>
      </c>
      <c r="E18" s="23" t="s">
        <v>112</v>
      </c>
      <c r="F18" s="25">
        <v>15</v>
      </c>
      <c r="G18" s="72" t="s">
        <v>62</v>
      </c>
      <c r="H18" s="94"/>
      <c r="I18" s="87"/>
    </row>
    <row r="19" spans="1:9" x14ac:dyDescent="0.35">
      <c r="A19" s="21">
        <f t="shared" si="0"/>
        <v>18</v>
      </c>
      <c r="B19" s="22" t="s">
        <v>114</v>
      </c>
      <c r="C19" s="23" t="s">
        <v>86</v>
      </c>
      <c r="D19" s="23" t="s">
        <v>115</v>
      </c>
      <c r="E19" s="23" t="s">
        <v>116</v>
      </c>
      <c r="F19" s="25" t="s">
        <v>117</v>
      </c>
      <c r="G19" s="72" t="s">
        <v>62</v>
      </c>
      <c r="H19" s="94"/>
      <c r="I19" s="87"/>
    </row>
    <row r="20" spans="1:9" x14ac:dyDescent="0.35">
      <c r="A20" s="21">
        <f t="shared" si="0"/>
        <v>19</v>
      </c>
      <c r="B20" s="22" t="s">
        <v>118</v>
      </c>
      <c r="C20" s="23" t="s">
        <v>75</v>
      </c>
      <c r="D20" s="23" t="s">
        <v>119</v>
      </c>
      <c r="E20" s="23" t="s">
        <v>120</v>
      </c>
      <c r="F20" s="25">
        <v>18</v>
      </c>
      <c r="G20" s="72" t="s">
        <v>62</v>
      </c>
      <c r="H20" s="94"/>
      <c r="I20" s="87"/>
    </row>
    <row r="21" spans="1:9" x14ac:dyDescent="0.35">
      <c r="A21" s="21">
        <f t="shared" si="0"/>
        <v>20</v>
      </c>
      <c r="B21" s="22" t="s">
        <v>121</v>
      </c>
      <c r="C21" s="23" t="s">
        <v>122</v>
      </c>
      <c r="D21" s="23" t="s">
        <v>108</v>
      </c>
      <c r="E21" s="23" t="s">
        <v>123</v>
      </c>
      <c r="F21" s="25">
        <v>14</v>
      </c>
      <c r="G21" s="72" t="s">
        <v>61</v>
      </c>
      <c r="H21" s="94"/>
      <c r="I21" s="87"/>
    </row>
    <row r="22" spans="1:9" x14ac:dyDescent="0.35">
      <c r="A22" s="21">
        <f t="shared" si="0"/>
        <v>21</v>
      </c>
      <c r="B22" s="22" t="s">
        <v>124</v>
      </c>
      <c r="C22" s="23" t="s">
        <v>125</v>
      </c>
      <c r="D22" s="23" t="s">
        <v>115</v>
      </c>
      <c r="E22" s="23" t="s">
        <v>102</v>
      </c>
      <c r="F22" s="25" t="s">
        <v>117</v>
      </c>
      <c r="G22" s="72" t="s">
        <v>62</v>
      </c>
      <c r="H22" s="94"/>
      <c r="I22" s="87"/>
    </row>
    <row r="23" spans="1:9" x14ac:dyDescent="0.35">
      <c r="A23" s="21">
        <f t="shared" si="0"/>
        <v>22</v>
      </c>
      <c r="B23" s="26" t="s">
        <v>60</v>
      </c>
      <c r="C23" s="27" t="s">
        <v>126</v>
      </c>
      <c r="D23" s="27" t="s">
        <v>108</v>
      </c>
      <c r="E23" s="27" t="s">
        <v>127</v>
      </c>
      <c r="F23" s="28">
        <v>14</v>
      </c>
      <c r="G23" s="73"/>
      <c r="H23" s="94"/>
      <c r="I23" s="87"/>
    </row>
    <row r="24" spans="1:9" x14ac:dyDescent="0.35">
      <c r="A24" s="21">
        <f t="shared" si="0"/>
        <v>23</v>
      </c>
      <c r="B24" s="26" t="s">
        <v>128</v>
      </c>
      <c r="C24" s="27" t="s">
        <v>129</v>
      </c>
      <c r="D24" s="27" t="s">
        <v>108</v>
      </c>
      <c r="E24" s="27" t="s">
        <v>130</v>
      </c>
      <c r="F24" s="24"/>
      <c r="G24" s="73"/>
      <c r="H24" s="94"/>
      <c r="I24" s="87"/>
    </row>
    <row r="25" spans="1:9" x14ac:dyDescent="0.35">
      <c r="A25" s="21">
        <f t="shared" si="0"/>
        <v>24</v>
      </c>
      <c r="B25" s="22" t="s">
        <v>131</v>
      </c>
      <c r="C25" s="23" t="s">
        <v>105</v>
      </c>
      <c r="D25" s="23" t="s">
        <v>108</v>
      </c>
      <c r="E25" s="23" t="s">
        <v>111</v>
      </c>
      <c r="F25" s="24"/>
      <c r="G25" s="72" t="s">
        <v>62</v>
      </c>
      <c r="H25" s="94"/>
      <c r="I25" s="87"/>
    </row>
    <row r="26" spans="1:9" x14ac:dyDescent="0.35">
      <c r="A26" s="21">
        <f t="shared" si="0"/>
        <v>25</v>
      </c>
      <c r="B26" s="22" t="s">
        <v>132</v>
      </c>
      <c r="C26" s="23" t="s">
        <v>129</v>
      </c>
      <c r="D26" s="23" t="s">
        <v>108</v>
      </c>
      <c r="E26" s="23" t="s">
        <v>130</v>
      </c>
      <c r="F26" s="24"/>
      <c r="G26" s="72" t="s">
        <v>61</v>
      </c>
      <c r="H26" s="94"/>
      <c r="I26" s="87"/>
    </row>
    <row r="27" spans="1:9" x14ac:dyDescent="0.35">
      <c r="A27" s="21">
        <f t="shared" si="0"/>
        <v>26</v>
      </c>
      <c r="B27" s="22" t="s">
        <v>133</v>
      </c>
      <c r="C27" s="23" t="s">
        <v>134</v>
      </c>
      <c r="D27" s="23" t="s">
        <v>130</v>
      </c>
      <c r="E27" s="23" t="s">
        <v>119</v>
      </c>
      <c r="F27" s="25">
        <v>24</v>
      </c>
      <c r="G27" s="72" t="s">
        <v>62</v>
      </c>
      <c r="H27" s="94"/>
      <c r="I27" s="87"/>
    </row>
    <row r="28" spans="1:9" x14ac:dyDescent="0.35">
      <c r="A28" s="21">
        <f t="shared" si="0"/>
        <v>27</v>
      </c>
      <c r="B28" s="22" t="s">
        <v>135</v>
      </c>
      <c r="C28" s="23" t="s">
        <v>97</v>
      </c>
      <c r="D28" s="23" t="s">
        <v>120</v>
      </c>
      <c r="E28" s="23" t="s">
        <v>102</v>
      </c>
      <c r="F28" s="25">
        <v>26</v>
      </c>
      <c r="G28" s="72" t="s">
        <v>62</v>
      </c>
      <c r="H28" s="94"/>
      <c r="I28" s="87"/>
    </row>
    <row r="29" spans="1:9" x14ac:dyDescent="0.35">
      <c r="A29" s="21">
        <f t="shared" si="0"/>
        <v>28</v>
      </c>
      <c r="B29" s="22" t="s">
        <v>136</v>
      </c>
      <c r="C29" s="23" t="s">
        <v>79</v>
      </c>
      <c r="D29" s="23" t="s">
        <v>137</v>
      </c>
      <c r="E29" s="23" t="s">
        <v>138</v>
      </c>
      <c r="F29" s="25">
        <v>27</v>
      </c>
      <c r="G29" s="72" t="s">
        <v>62</v>
      </c>
      <c r="H29" s="94"/>
      <c r="I29" s="87"/>
    </row>
    <row r="30" spans="1:9" x14ac:dyDescent="0.35">
      <c r="A30" s="21">
        <f t="shared" si="0"/>
        <v>29</v>
      </c>
      <c r="B30" s="22" t="s">
        <v>139</v>
      </c>
      <c r="C30" s="23" t="s">
        <v>134</v>
      </c>
      <c r="D30" s="23" t="s">
        <v>140</v>
      </c>
      <c r="E30" s="23" t="s">
        <v>127</v>
      </c>
      <c r="F30" s="25">
        <v>28</v>
      </c>
      <c r="G30" s="72" t="s">
        <v>62</v>
      </c>
      <c r="H30" s="94"/>
      <c r="I30" s="87"/>
    </row>
    <row r="31" spans="1:9" ht="15" thickBot="1" x14ac:dyDescent="0.4">
      <c r="A31" s="29">
        <f t="shared" si="0"/>
        <v>30</v>
      </c>
      <c r="B31" s="30" t="s">
        <v>63</v>
      </c>
      <c r="C31" s="31" t="s">
        <v>125</v>
      </c>
      <c r="D31" s="31" t="s">
        <v>141</v>
      </c>
      <c r="E31" s="31" t="s">
        <v>127</v>
      </c>
      <c r="F31" s="32"/>
      <c r="G31" s="74" t="s">
        <v>61</v>
      </c>
      <c r="H31" s="95"/>
      <c r="I31" s="88"/>
    </row>
    <row r="32" spans="1:9" x14ac:dyDescent="0.35">
      <c r="A32" s="48">
        <f t="shared" si="0"/>
        <v>31</v>
      </c>
      <c r="B32" s="49" t="s">
        <v>64</v>
      </c>
      <c r="C32" s="50" t="s">
        <v>142</v>
      </c>
      <c r="D32" s="50" t="s">
        <v>72</v>
      </c>
      <c r="E32" s="50" t="s">
        <v>143</v>
      </c>
      <c r="F32" s="51"/>
      <c r="G32" s="75"/>
      <c r="H32" s="93" t="s">
        <v>168</v>
      </c>
      <c r="I32" s="81">
        <v>0.2</v>
      </c>
    </row>
    <row r="33" spans="1:9" x14ac:dyDescent="0.35">
      <c r="A33" s="52">
        <f t="shared" si="0"/>
        <v>32</v>
      </c>
      <c r="B33" s="53" t="s">
        <v>144</v>
      </c>
      <c r="C33" s="54" t="s">
        <v>97</v>
      </c>
      <c r="D33" s="54" t="s">
        <v>145</v>
      </c>
      <c r="E33" s="54" t="s">
        <v>146</v>
      </c>
      <c r="F33" s="55" t="s">
        <v>147</v>
      </c>
      <c r="G33" s="76"/>
      <c r="H33" s="94"/>
      <c r="I33" s="82"/>
    </row>
    <row r="34" spans="1:9" x14ac:dyDescent="0.35">
      <c r="A34" s="52">
        <f t="shared" si="0"/>
        <v>33</v>
      </c>
      <c r="B34" s="56" t="s">
        <v>148</v>
      </c>
      <c r="C34" s="57" t="s">
        <v>97</v>
      </c>
      <c r="D34" s="57" t="s">
        <v>145</v>
      </c>
      <c r="E34" s="57" t="s">
        <v>146</v>
      </c>
      <c r="F34" s="58"/>
      <c r="G34" s="77" t="s">
        <v>61</v>
      </c>
      <c r="H34" s="94"/>
      <c r="I34" s="82"/>
    </row>
    <row r="35" spans="1:9" x14ac:dyDescent="0.35">
      <c r="A35" s="52">
        <f t="shared" si="0"/>
        <v>34</v>
      </c>
      <c r="B35" s="56" t="s">
        <v>149</v>
      </c>
      <c r="C35" s="57" t="s">
        <v>97</v>
      </c>
      <c r="D35" s="57" t="s">
        <v>145</v>
      </c>
      <c r="E35" s="57" t="s">
        <v>146</v>
      </c>
      <c r="F35" s="58"/>
      <c r="G35" s="77" t="s">
        <v>61</v>
      </c>
      <c r="H35" s="94"/>
      <c r="I35" s="82"/>
    </row>
    <row r="36" spans="1:9" x14ac:dyDescent="0.35">
      <c r="A36" s="52">
        <f t="shared" si="0"/>
        <v>35</v>
      </c>
      <c r="B36" s="56" t="s">
        <v>150</v>
      </c>
      <c r="C36" s="57" t="s">
        <v>97</v>
      </c>
      <c r="D36" s="57" t="s">
        <v>145</v>
      </c>
      <c r="E36" s="57" t="s">
        <v>146</v>
      </c>
      <c r="F36" s="58"/>
      <c r="G36" s="77" t="s">
        <v>61</v>
      </c>
      <c r="H36" s="94"/>
      <c r="I36" s="82"/>
    </row>
    <row r="37" spans="1:9" x14ac:dyDescent="0.35">
      <c r="A37" s="52">
        <f t="shared" si="0"/>
        <v>36</v>
      </c>
      <c r="B37" s="56" t="s">
        <v>151</v>
      </c>
      <c r="C37" s="57" t="s">
        <v>97</v>
      </c>
      <c r="D37" s="57" t="s">
        <v>145</v>
      </c>
      <c r="E37" s="57" t="s">
        <v>146</v>
      </c>
      <c r="F37" s="58"/>
      <c r="G37" s="77" t="s">
        <v>61</v>
      </c>
      <c r="H37" s="94"/>
      <c r="I37" s="82"/>
    </row>
    <row r="38" spans="1:9" x14ac:dyDescent="0.35">
      <c r="A38" s="52">
        <f t="shared" si="0"/>
        <v>37</v>
      </c>
      <c r="B38" s="56" t="s">
        <v>152</v>
      </c>
      <c r="C38" s="57" t="s">
        <v>97</v>
      </c>
      <c r="D38" s="57" t="s">
        <v>145</v>
      </c>
      <c r="E38" s="57" t="s">
        <v>146</v>
      </c>
      <c r="F38" s="58"/>
      <c r="G38" s="77" t="s">
        <v>61</v>
      </c>
      <c r="H38" s="94"/>
      <c r="I38" s="82"/>
    </row>
    <row r="39" spans="1:9" x14ac:dyDescent="0.35">
      <c r="A39" s="52">
        <f t="shared" si="0"/>
        <v>38</v>
      </c>
      <c r="B39" s="56" t="s">
        <v>153</v>
      </c>
      <c r="C39" s="57" t="s">
        <v>97</v>
      </c>
      <c r="D39" s="57" t="s">
        <v>72</v>
      </c>
      <c r="E39" s="57" t="s">
        <v>83</v>
      </c>
      <c r="F39" s="58"/>
      <c r="G39" s="77" t="s">
        <v>154</v>
      </c>
      <c r="H39" s="94"/>
      <c r="I39" s="82"/>
    </row>
    <row r="40" spans="1:9" x14ac:dyDescent="0.35">
      <c r="A40" s="52">
        <f t="shared" si="0"/>
        <v>39</v>
      </c>
      <c r="B40" s="53" t="s">
        <v>155</v>
      </c>
      <c r="C40" s="54" t="s">
        <v>86</v>
      </c>
      <c r="D40" s="54" t="s">
        <v>156</v>
      </c>
      <c r="E40" s="54" t="s">
        <v>157</v>
      </c>
      <c r="F40" s="55" t="s">
        <v>158</v>
      </c>
      <c r="G40" s="76"/>
      <c r="H40" s="94"/>
      <c r="I40" s="82"/>
    </row>
    <row r="41" spans="1:9" x14ac:dyDescent="0.35">
      <c r="A41" s="52">
        <f t="shared" si="0"/>
        <v>40</v>
      </c>
      <c r="B41" s="56" t="s">
        <v>148</v>
      </c>
      <c r="C41" s="57" t="s">
        <v>86</v>
      </c>
      <c r="D41" s="57" t="s">
        <v>156</v>
      </c>
      <c r="E41" s="57" t="s">
        <v>157</v>
      </c>
      <c r="F41" s="58"/>
      <c r="G41" s="77" t="s">
        <v>77</v>
      </c>
      <c r="H41" s="94"/>
      <c r="I41" s="82"/>
    </row>
    <row r="42" spans="1:9" x14ac:dyDescent="0.35">
      <c r="A42" s="52">
        <f t="shared" si="0"/>
        <v>41</v>
      </c>
      <c r="B42" s="56" t="s">
        <v>149</v>
      </c>
      <c r="C42" s="57" t="s">
        <v>86</v>
      </c>
      <c r="D42" s="57" t="s">
        <v>156</v>
      </c>
      <c r="E42" s="57" t="s">
        <v>157</v>
      </c>
      <c r="F42" s="58"/>
      <c r="G42" s="77" t="s">
        <v>77</v>
      </c>
      <c r="H42" s="94"/>
      <c r="I42" s="82"/>
    </row>
    <row r="43" spans="1:9" x14ac:dyDescent="0.35">
      <c r="A43" s="52">
        <f t="shared" si="0"/>
        <v>42</v>
      </c>
      <c r="B43" s="56" t="s">
        <v>150</v>
      </c>
      <c r="C43" s="57" t="s">
        <v>86</v>
      </c>
      <c r="D43" s="57" t="s">
        <v>156</v>
      </c>
      <c r="E43" s="57" t="s">
        <v>157</v>
      </c>
      <c r="F43" s="58"/>
      <c r="G43" s="77" t="s">
        <v>77</v>
      </c>
      <c r="H43" s="94"/>
      <c r="I43" s="82"/>
    </row>
    <row r="44" spans="1:9" x14ac:dyDescent="0.35">
      <c r="A44" s="52">
        <f t="shared" si="0"/>
        <v>43</v>
      </c>
      <c r="B44" s="56" t="s">
        <v>151</v>
      </c>
      <c r="C44" s="57" t="s">
        <v>86</v>
      </c>
      <c r="D44" s="57" t="s">
        <v>156</v>
      </c>
      <c r="E44" s="57" t="s">
        <v>157</v>
      </c>
      <c r="F44" s="58"/>
      <c r="G44" s="77" t="s">
        <v>77</v>
      </c>
      <c r="H44" s="94"/>
      <c r="I44" s="82"/>
    </row>
    <row r="45" spans="1:9" x14ac:dyDescent="0.35">
      <c r="A45" s="52">
        <f t="shared" si="0"/>
        <v>44</v>
      </c>
      <c r="B45" s="56" t="s">
        <v>152</v>
      </c>
      <c r="C45" s="57" t="s">
        <v>86</v>
      </c>
      <c r="D45" s="57" t="s">
        <v>156</v>
      </c>
      <c r="E45" s="57" t="s">
        <v>157</v>
      </c>
      <c r="F45" s="58"/>
      <c r="G45" s="77" t="s">
        <v>77</v>
      </c>
      <c r="H45" s="94"/>
      <c r="I45" s="82"/>
    </row>
    <row r="46" spans="1:9" x14ac:dyDescent="0.35">
      <c r="A46" s="52">
        <f t="shared" si="0"/>
        <v>45</v>
      </c>
      <c r="B46" s="56" t="s">
        <v>159</v>
      </c>
      <c r="C46" s="57" t="s">
        <v>75</v>
      </c>
      <c r="D46" s="57" t="s">
        <v>160</v>
      </c>
      <c r="E46" s="57" t="s">
        <v>143</v>
      </c>
      <c r="F46" s="59">
        <v>39</v>
      </c>
      <c r="G46" s="77" t="s">
        <v>62</v>
      </c>
      <c r="H46" s="94"/>
      <c r="I46" s="82"/>
    </row>
    <row r="47" spans="1:9" ht="15" thickBot="1" x14ac:dyDescent="0.4">
      <c r="A47" s="60">
        <f t="shared" si="0"/>
        <v>46</v>
      </c>
      <c r="B47" s="61" t="s">
        <v>161</v>
      </c>
      <c r="C47" s="62" t="s">
        <v>75</v>
      </c>
      <c r="D47" s="62" t="s">
        <v>160</v>
      </c>
      <c r="E47" s="62" t="s">
        <v>143</v>
      </c>
      <c r="F47" s="63">
        <v>39</v>
      </c>
      <c r="G47" s="78" t="s">
        <v>62</v>
      </c>
      <c r="H47" s="95"/>
      <c r="I47" s="83"/>
    </row>
    <row r="48" spans="1:9" ht="23" customHeight="1" x14ac:dyDescent="0.35">
      <c r="A48" s="12">
        <f t="shared" si="0"/>
        <v>47</v>
      </c>
      <c r="B48" s="13" t="s">
        <v>162</v>
      </c>
      <c r="C48" s="13" t="s">
        <v>163</v>
      </c>
      <c r="D48" s="13" t="s">
        <v>72</v>
      </c>
      <c r="E48" s="13" t="s">
        <v>72</v>
      </c>
      <c r="F48" s="14"/>
      <c r="G48" s="79"/>
      <c r="H48" s="96" t="s">
        <v>169</v>
      </c>
      <c r="I48" s="84">
        <v>0.1</v>
      </c>
    </row>
    <row r="49" spans="1:9" ht="23" customHeight="1" thickBot="1" x14ac:dyDescent="0.4">
      <c r="A49" s="15">
        <f t="shared" si="0"/>
        <v>48</v>
      </c>
      <c r="B49" s="64" t="s">
        <v>164</v>
      </c>
      <c r="C49" s="65"/>
      <c r="D49" s="65"/>
      <c r="E49" s="65"/>
      <c r="F49" s="16"/>
      <c r="G49" s="80"/>
      <c r="H49" s="97"/>
      <c r="I49" s="85"/>
    </row>
  </sheetData>
  <mergeCells count="8">
    <mergeCell ref="H2:H13"/>
    <mergeCell ref="H14:H31"/>
    <mergeCell ref="H32:H47"/>
    <mergeCell ref="H48:H49"/>
    <mergeCell ref="I2:I13"/>
    <mergeCell ref="I14:I31"/>
    <mergeCell ref="I32:I47"/>
    <mergeCell ref="I48:I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DNA 4.0 Proposal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Karina Soto</dc:creator>
  <cp:lastModifiedBy>Marcelino Esparza DNA 4.0</cp:lastModifiedBy>
  <dcterms:created xsi:type="dcterms:W3CDTF">2026-06-22T20:34:27Z</dcterms:created>
  <dcterms:modified xsi:type="dcterms:W3CDTF">2026-06-24T04:43:45Z</dcterms:modified>
</cp:coreProperties>
</file>